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072068966f43fb/Documents/My Publications/BlogWyrm/"/>
    </mc:Choice>
  </mc:AlternateContent>
  <xr:revisionPtr revIDLastSave="0" documentId="8_{BF11D137-9FFC-4E00-BD16-962A0D227C1C}" xr6:coauthVersionLast="47" xr6:coauthVersionMax="47" xr10:uidLastSave="{00000000-0000-0000-0000-000000000000}"/>
  <bookViews>
    <workbookView xWindow="-120" yWindow="-120" windowWidth="29040" windowHeight="15720" xr2:uid="{1AE2B833-121D-448F-9F58-E05BEBB9A7CF}"/>
  </bookViews>
  <sheets>
    <sheet name="CC_03(Mar)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1" l="1"/>
  <c r="B16" i="1"/>
  <c r="F9" i="1"/>
  <c r="B10" i="1"/>
  <c r="B9" i="1"/>
  <c r="F2" i="1"/>
  <c r="F4" i="1"/>
  <c r="F3" i="1"/>
  <c r="F1" i="1"/>
  <c r="B3" i="1"/>
  <c r="B2" i="1"/>
  <c r="F10" i="1" l="1"/>
  <c r="F8" i="1"/>
  <c r="F5" i="1"/>
  <c r="F11" i="1" l="1"/>
  <c r="F12" i="1" s="1"/>
</calcChain>
</file>

<file path=xl/sharedStrings.xml><?xml version="1.0" encoding="utf-8"?>
<sst xmlns="http://schemas.openxmlformats.org/spreadsheetml/2006/main" count="16" uniqueCount="9">
  <si>
    <t>Prob</t>
  </si>
  <si>
    <t>Payout</t>
  </si>
  <si>
    <t>Expected Winnings</t>
  </si>
  <si>
    <t>Expected Winnings Squared</t>
  </si>
  <si>
    <t>variance</t>
  </si>
  <si>
    <t>STD</t>
  </si>
  <si>
    <t>Expected Return</t>
  </si>
  <si>
    <t>51/52</t>
  </si>
  <si>
    <t>(51/52)^1000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</si>
</sst>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C133-9052-4188-B531-2456FC6E3BD2}">
  <dimension ref="A1:G17"/>
  <sheetViews>
    <sheetView tabSelected="1" workbookViewId="0">
      <selection activeCell="A18" sqref="A18"/>
    </sheetView>
  </sheetViews>
  <sheetFormatPr defaultRowHeight="15" x14ac:dyDescent="0.25"/>
  <cols>
    <col min="1" max="1" width="12.28515625" bestFit="1" customWidth="1"/>
    <col min="5" max="5" width="25.7109375" bestFit="1" customWidth="1"/>
    <col min="10" max="10" width="12" bestFit="1" customWidth="1"/>
  </cols>
  <sheetData>
    <row r="1" spans="1:7" x14ac:dyDescent="0.25">
      <c r="B1" t="s">
        <v>0</v>
      </c>
      <c r="C1" t="s">
        <v>1</v>
      </c>
      <c r="E1" t="s">
        <v>2</v>
      </c>
      <c r="F1" s="2">
        <f>B2*C2+B3*C3</f>
        <v>0.96153846153846156</v>
      </c>
    </row>
    <row r="2" spans="1:7" x14ac:dyDescent="0.25">
      <c r="B2">
        <f>1/52</f>
        <v>1.9230769230769232E-2</v>
      </c>
      <c r="C2" s="1">
        <v>50</v>
      </c>
      <c r="E2" t="s">
        <v>6</v>
      </c>
      <c r="F2" s="2">
        <f>F1-1</f>
        <v>-3.8461538461538436E-2</v>
      </c>
      <c r="G2" s="1"/>
    </row>
    <row r="3" spans="1:7" x14ac:dyDescent="0.25">
      <c r="B3">
        <f>51/52</f>
        <v>0.98076923076923073</v>
      </c>
      <c r="C3" s="1">
        <v>0</v>
      </c>
      <c r="E3" t="s">
        <v>3</v>
      </c>
      <c r="F3" s="2">
        <f>C2^2*B2+C3^2*B3</f>
        <v>48.07692307692308</v>
      </c>
    </row>
    <row r="4" spans="1:7" x14ac:dyDescent="0.25">
      <c r="E4" t="s">
        <v>4</v>
      </c>
      <c r="F4" s="2">
        <f>F3-F1^2</f>
        <v>47.152366863905328</v>
      </c>
    </row>
    <row r="5" spans="1:7" x14ac:dyDescent="0.25">
      <c r="E5" t="s">
        <v>5</v>
      </c>
      <c r="F5">
        <f>SQRT(F4)</f>
        <v>6.8667581043681256</v>
      </c>
    </row>
    <row r="8" spans="1:7" x14ac:dyDescent="0.25">
      <c r="B8" t="s">
        <v>0</v>
      </c>
      <c r="C8" t="s">
        <v>1</v>
      </c>
      <c r="E8" t="s">
        <v>2</v>
      </c>
      <c r="F8" s="2">
        <f>B9*C9+B10*C10</f>
        <v>-0.96153846153846156</v>
      </c>
    </row>
    <row r="9" spans="1:7" x14ac:dyDescent="0.25">
      <c r="B9">
        <f>1/52</f>
        <v>1.9230769230769232E-2</v>
      </c>
      <c r="C9" s="1">
        <v>-50</v>
      </c>
      <c r="E9" t="s">
        <v>6</v>
      </c>
      <c r="F9" s="2">
        <f>F8+1</f>
        <v>3.8461538461538436E-2</v>
      </c>
    </row>
    <row r="10" spans="1:7" x14ac:dyDescent="0.25">
      <c r="B10">
        <f>51/52</f>
        <v>0.98076923076923073</v>
      </c>
      <c r="C10" s="1">
        <v>0</v>
      </c>
      <c r="E10" t="s">
        <v>3</v>
      </c>
      <c r="F10" s="2">
        <f>C9^2*B9+C10^2*B10</f>
        <v>48.07692307692308</v>
      </c>
    </row>
    <row r="11" spans="1:7" x14ac:dyDescent="0.25">
      <c r="E11" t="s">
        <v>4</v>
      </c>
      <c r="F11" s="2">
        <f>F10-F8^2</f>
        <v>47.152366863905328</v>
      </c>
    </row>
    <row r="12" spans="1:7" x14ac:dyDescent="0.25">
      <c r="E12" t="s">
        <v>5</v>
      </c>
      <c r="F12">
        <f>SQRT(F11)</f>
        <v>6.8667581043681256</v>
      </c>
    </row>
    <row r="16" spans="1:7" x14ac:dyDescent="0.25">
      <c r="A16" t="s">
        <v>7</v>
      </c>
      <c r="B16">
        <f>51/52</f>
        <v>0.98076923076923073</v>
      </c>
    </row>
    <row r="17" spans="1:2" x14ac:dyDescent="0.25">
      <c r="A17" t="s">
        <v>8</v>
      </c>
      <c r="B17">
        <f>B16^1000</f>
        <v>3.6883528631465466E-9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CC_03(Mar)_2026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Conrad Schiff</dc:creator>
  <cp:lastModifiedBy>Conrad Schiff</cp:lastModifiedBy>
  <dcterms:created xsi:type="dcterms:W3CDTF">2026-05-29T08:17:13Z</dcterms:created>
  <dcterms:modified xsi:type="dcterms:W3CDTF">2026-05-29T13:20:55Z</dcterms:modified>
</cp:coreProperties>
</file>