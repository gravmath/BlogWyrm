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072068966F43FB/Documents/My Publications/BlogWyrm/"/>
    </mc:Choice>
  </mc:AlternateContent>
  <xr:revisionPtr revIDLastSave="380" documentId="8_{42A33B5B-8669-4375-89F1-6B67BBBC9A66}" xr6:coauthVersionLast="47" xr6:coauthVersionMax="47" xr10:uidLastSave="{C9443D3C-6108-4A6E-ADC3-E9B4FCFD08BD}"/>
  <bookViews>
    <workbookView xWindow="-108" yWindow="-108" windowWidth="23256" windowHeight="13896" activeTab="1" xr2:uid="{072C07C3-14EB-4D95-9326-7C0E01554516}"/>
  </bookViews>
  <sheets>
    <sheet name="van der Wijst returns" sheetId="1" r:id="rId1"/>
    <sheet name="my turnabout examp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2" i="3" l="1"/>
  <c r="K11" i="3"/>
  <c r="K10" i="3"/>
  <c r="G10" i="3"/>
  <c r="F10" i="3"/>
  <c r="K9" i="3"/>
  <c r="G9" i="3"/>
  <c r="F9" i="3"/>
  <c r="K8" i="3"/>
  <c r="K7" i="3"/>
  <c r="D7" i="3"/>
  <c r="D8" i="3" s="1"/>
  <c r="C7" i="3"/>
  <c r="C8" i="3" s="1"/>
  <c r="K6" i="3"/>
  <c r="K5" i="3"/>
  <c r="B5" i="3"/>
  <c r="K4" i="3"/>
  <c r="B4" i="3"/>
  <c r="D6" i="3" s="1"/>
  <c r="K3" i="3"/>
  <c r="G3" i="3"/>
  <c r="B3" i="3"/>
  <c r="K2" i="3"/>
  <c r="R12" i="1"/>
  <c r="R11" i="1"/>
  <c r="R10" i="1"/>
  <c r="R9" i="1"/>
  <c r="R8" i="1"/>
  <c r="R7" i="1"/>
  <c r="R6" i="1"/>
  <c r="R5" i="1"/>
  <c r="R4" i="1"/>
  <c r="R3" i="1"/>
  <c r="R2" i="1"/>
  <c r="Q12" i="1"/>
  <c r="Q11" i="1"/>
  <c r="Q10" i="1"/>
  <c r="Q9" i="1"/>
  <c r="Q8" i="1"/>
  <c r="Q7" i="1"/>
  <c r="Q6" i="1"/>
  <c r="Q5" i="1"/>
  <c r="Q4" i="1"/>
  <c r="Q3" i="1"/>
  <c r="Q2" i="1"/>
  <c r="P3" i="1"/>
  <c r="P4" i="1"/>
  <c r="P5" i="1"/>
  <c r="P6" i="1"/>
  <c r="P7" i="1"/>
  <c r="P8" i="1"/>
  <c r="P9" i="1"/>
  <c r="P10" i="1"/>
  <c r="P11" i="1"/>
  <c r="P12" i="1"/>
  <c r="P2" i="1"/>
  <c r="O3" i="1"/>
  <c r="O4" i="1"/>
  <c r="O5" i="1"/>
  <c r="O6" i="1"/>
  <c r="O7" i="1"/>
  <c r="O8" i="1"/>
  <c r="O9" i="1"/>
  <c r="O10" i="1"/>
  <c r="O11" i="1"/>
  <c r="O12" i="1"/>
  <c r="O2" i="1"/>
  <c r="N12" i="1"/>
  <c r="N11" i="1"/>
  <c r="N10" i="1"/>
  <c r="N9" i="1"/>
  <c r="N8" i="1"/>
  <c r="N7" i="1"/>
  <c r="N6" i="1"/>
  <c r="N5" i="1"/>
  <c r="N4" i="1"/>
  <c r="N3" i="1"/>
  <c r="N2" i="1"/>
  <c r="L12" i="1"/>
  <c r="L11" i="1"/>
  <c r="L10" i="1"/>
  <c r="L9" i="1"/>
  <c r="L8" i="1"/>
  <c r="L7" i="1"/>
  <c r="L6" i="1"/>
  <c r="L5" i="1"/>
  <c r="L4" i="1"/>
  <c r="L3" i="1"/>
  <c r="L2" i="1"/>
  <c r="K3" i="1"/>
  <c r="K4" i="1"/>
  <c r="K5" i="1"/>
  <c r="K6" i="1"/>
  <c r="K7" i="1"/>
  <c r="K8" i="1"/>
  <c r="K9" i="1"/>
  <c r="K10" i="1"/>
  <c r="K11" i="1"/>
  <c r="K12" i="1"/>
  <c r="K2" i="1"/>
  <c r="D7" i="1"/>
  <c r="D8" i="1" s="1"/>
  <c r="C7" i="1"/>
  <c r="C8" i="1" s="1"/>
  <c r="G3" i="1"/>
  <c r="G10" i="1"/>
  <c r="F10" i="1"/>
  <c r="G9" i="1"/>
  <c r="F9" i="1"/>
  <c r="B4" i="1"/>
  <c r="B5" i="1"/>
  <c r="B3" i="1"/>
  <c r="D6" i="1" s="1"/>
  <c r="M12" i="3" l="1"/>
  <c r="N12" i="3" s="1"/>
  <c r="M2" i="3"/>
  <c r="N2" i="3" s="1"/>
  <c r="C6" i="3"/>
  <c r="M9" i="3"/>
  <c r="N9" i="3" s="1"/>
  <c r="F13" i="3"/>
  <c r="M6" i="3"/>
  <c r="N6" i="3" s="1"/>
  <c r="M11" i="3"/>
  <c r="N11" i="3" s="1"/>
  <c r="M3" i="3"/>
  <c r="N3" i="3" s="1"/>
  <c r="M8" i="3"/>
  <c r="N8" i="3" s="1"/>
  <c r="M7" i="3"/>
  <c r="N7" i="3" s="1"/>
  <c r="M4" i="3"/>
  <c r="N4" i="3" s="1"/>
  <c r="M5" i="3"/>
  <c r="N5" i="3" s="1"/>
  <c r="M10" i="3"/>
  <c r="N10" i="3" s="1"/>
  <c r="M12" i="1"/>
  <c r="M7" i="1"/>
  <c r="M4" i="1"/>
  <c r="M5" i="1"/>
  <c r="M6" i="1"/>
  <c r="M2" i="1"/>
  <c r="M3" i="1"/>
  <c r="M10" i="1"/>
  <c r="M11" i="1"/>
  <c r="F13" i="1"/>
  <c r="M8" i="1"/>
  <c r="M9" i="1"/>
  <c r="C6" i="1"/>
  <c r="L2" i="3" l="1"/>
  <c r="L12" i="3"/>
  <c r="L7" i="3"/>
  <c r="L5" i="3"/>
  <c r="L8" i="3"/>
  <c r="L3" i="3"/>
  <c r="L11" i="3"/>
  <c r="L6" i="3"/>
  <c r="L9" i="3"/>
  <c r="F6" i="3"/>
  <c r="L4" i="3"/>
  <c r="L10" i="3"/>
  <c r="F6" i="1"/>
  <c r="R10" i="3" l="1"/>
  <c r="Q10" i="3"/>
  <c r="P10" i="3"/>
  <c r="O10" i="3"/>
  <c r="R4" i="3"/>
  <c r="Q4" i="3"/>
  <c r="P4" i="3"/>
  <c r="O4" i="3"/>
  <c r="R9" i="3"/>
  <c r="Q9" i="3"/>
  <c r="P9" i="3"/>
  <c r="O9" i="3"/>
  <c r="R6" i="3"/>
  <c r="Q6" i="3"/>
  <c r="P6" i="3"/>
  <c r="O6" i="3"/>
  <c r="R11" i="3"/>
  <c r="Q11" i="3"/>
  <c r="P11" i="3"/>
  <c r="O11" i="3"/>
  <c r="R3" i="3"/>
  <c r="O3" i="3"/>
  <c r="Q3" i="3"/>
  <c r="P3" i="3"/>
  <c r="Q8" i="3"/>
  <c r="P8" i="3"/>
  <c r="O8" i="3"/>
  <c r="R8" i="3"/>
  <c r="P5" i="3"/>
  <c r="O5" i="3"/>
  <c r="R5" i="3"/>
  <c r="Q5" i="3"/>
  <c r="O7" i="3"/>
  <c r="R7" i="3"/>
  <c r="Q7" i="3"/>
  <c r="P7" i="3"/>
  <c r="P12" i="3"/>
  <c r="R12" i="3"/>
  <c r="Q12" i="3"/>
  <c r="O12" i="3"/>
  <c r="P2" i="3"/>
  <c r="R2" i="3"/>
  <c r="Q2" i="3"/>
  <c r="O2" i="3"/>
</calcChain>
</file>

<file path=xl/sharedStrings.xml><?xml version="1.0" encoding="utf-8"?>
<sst xmlns="http://schemas.openxmlformats.org/spreadsheetml/2006/main" count="46" uniqueCount="23">
  <si>
    <t>Scenario</t>
  </si>
  <si>
    <t>Probability</t>
  </si>
  <si>
    <t>Asset 1</t>
  </si>
  <si>
    <t>Asset 2</t>
  </si>
  <si>
    <t>Asset Returns</t>
  </si>
  <si>
    <t>Portfolio Covariance Matrix</t>
  </si>
  <si>
    <t>Portfolio Expected Return</t>
  </si>
  <si>
    <t>Expected returns</t>
  </si>
  <si>
    <t>Expected volatility</t>
  </si>
  <si>
    <t>Portfolio Volatility</t>
  </si>
  <si>
    <t>E</t>
  </si>
  <si>
    <t>sigma^2</t>
  </si>
  <si>
    <t>sigma</t>
  </si>
  <si>
    <t>E_min</t>
  </si>
  <si>
    <t>E_max</t>
  </si>
  <si>
    <t>Expected root volatility</t>
  </si>
  <si>
    <t>E_1sig_low</t>
  </si>
  <si>
    <t>E_1sig_high</t>
  </si>
  <si>
    <t>Portfolio Fractions</t>
  </si>
  <si>
    <t>f1</t>
  </si>
  <si>
    <t>fA</t>
  </si>
  <si>
    <t>fB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</si>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</sst>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5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Return &amp; Volatility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61130210836321"/>
          <c:y val="0.17171296296296296"/>
          <c:w val="0.72749436250046196"/>
          <c:h val="0.62308654126567509"/>
        </c:manualLayout>
      </c:layout>
      <c:scatterChart>
        <c:scatterStyle val="lineMarker"/>
        <c:varyColors val="0"/>
        <c:ser>
          <c:idx val="0"/>
          <c:order val="0"/>
          <c:tx>
            <c:v>Expected Return</c:v>
          </c:tx>
          <c:spPr>
            <a:ln w="19050" cap="rnd">
              <a:solidFill>
                <a:srgbClr val="F5F5D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5F5DC"/>
              </a:solidFill>
              <a:ln w="9525">
                <a:noFill/>
              </a:ln>
              <a:effectLst/>
            </c:spPr>
          </c:marker>
          <c:xVal>
            <c:numRef>
              <c:f>'van der Wijst returns'!$J$2:$J$12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'van der Wijst returns'!$L$2:$L$12</c:f>
              <c:numCache>
                <c:formatCode>General</c:formatCode>
                <c:ptCount val="11"/>
                <c:pt idx="0">
                  <c:v>7.9999999999999991</c:v>
                </c:pt>
                <c:pt idx="1">
                  <c:v>8.1</c:v>
                </c:pt>
                <c:pt idx="2">
                  <c:v>8.1999999999999993</c:v>
                </c:pt>
                <c:pt idx="3">
                  <c:v>8.2999999999999972</c:v>
                </c:pt>
                <c:pt idx="4">
                  <c:v>8.3999999999999986</c:v>
                </c:pt>
                <c:pt idx="5">
                  <c:v>8.5</c:v>
                </c:pt>
                <c:pt idx="6">
                  <c:v>8.5999999999999979</c:v>
                </c:pt>
                <c:pt idx="7">
                  <c:v>8.6999999999999993</c:v>
                </c:pt>
                <c:pt idx="8">
                  <c:v>8.7999999999999989</c:v>
                </c:pt>
                <c:pt idx="9">
                  <c:v>8.8999999999999986</c:v>
                </c:pt>
                <c:pt idx="10">
                  <c:v>8.9999999999999982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D-4FA2-837D-688DF9581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219647"/>
        <c:axId val="747220607"/>
      </c:scatterChart>
      <c:scatterChart>
        <c:scatterStyle val="lineMarker"/>
        <c:varyColors val="0"/>
        <c:ser>
          <c:idx val="1"/>
          <c:order val="1"/>
          <c:tx>
            <c:v>Volatility</c:v>
          </c:tx>
          <c:spPr>
            <a:ln w="19050" cap="rnd">
              <a:solidFill>
                <a:srgbClr val="F5F5DC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F5F5DC"/>
              </a:solidFill>
              <a:ln w="9525">
                <a:noFill/>
              </a:ln>
              <a:effectLst/>
            </c:spPr>
          </c:marker>
          <c:xVal>
            <c:numRef>
              <c:f>'van der Wijst returns'!$J$2:$J$12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'van der Wijst returns'!$N$2:$N$12</c:f>
              <c:numCache>
                <c:formatCode>General</c:formatCode>
                <c:ptCount val="11"/>
                <c:pt idx="0">
                  <c:v>2.8284271247461903</c:v>
                </c:pt>
                <c:pt idx="1">
                  <c:v>2.1354156504062622</c:v>
                </c:pt>
                <c:pt idx="2">
                  <c:v>1.4966629547095767</c:v>
                </c:pt>
                <c:pt idx="3">
                  <c:v>1.0198039027185568</c:v>
                </c:pt>
                <c:pt idx="4">
                  <c:v>0.97979589711327186</c:v>
                </c:pt>
                <c:pt idx="5">
                  <c:v>1.4142135623730951</c:v>
                </c:pt>
                <c:pt idx="6">
                  <c:v>2.0396078054371136</c:v>
                </c:pt>
                <c:pt idx="7">
                  <c:v>2.7276363393971703</c:v>
                </c:pt>
                <c:pt idx="8">
                  <c:v>3.4409301068170515</c:v>
                </c:pt>
                <c:pt idx="9">
                  <c:v>4.1665333311999317</c:v>
                </c:pt>
                <c:pt idx="10">
                  <c:v>4.8989794855663558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2D-4FA2-837D-688DF9581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769664"/>
        <c:axId val="1317768224"/>
      </c:scatterChart>
      <c:valAx>
        <c:axId val="74721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  <a:r>
                  <a:rPr lang="en-US" baseline="-25000"/>
                  <a:t>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20607"/>
        <c:crosses val="autoZero"/>
        <c:crossBetween val="midCat"/>
      </c:valAx>
      <c:valAx>
        <c:axId val="7472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Return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19647"/>
        <c:crosses val="autoZero"/>
        <c:crossBetween val="midCat"/>
      </c:valAx>
      <c:valAx>
        <c:axId val="13177682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Volatility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769664"/>
        <c:crosses val="max"/>
        <c:crossBetween val="midCat"/>
      </c:valAx>
      <c:valAx>
        <c:axId val="1317769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7768224"/>
        <c:crosses val="autoZero"/>
        <c:crossBetween val="midCat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782066204726726"/>
          <c:y val="0.20575275986941763"/>
          <c:w val="0.17999466906489625"/>
          <c:h val="0.121360072709357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Envelope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61130210836321"/>
          <c:y val="0.17171296296296296"/>
          <c:w val="0.72749436250046196"/>
          <c:h val="0.62308654126567509"/>
        </c:manualLayout>
      </c:layout>
      <c:scatterChart>
        <c:scatterStyle val="lineMarker"/>
        <c:varyColors val="0"/>
        <c:ser>
          <c:idx val="0"/>
          <c:order val="0"/>
          <c:tx>
            <c:v>1-sigma Low Return</c:v>
          </c:tx>
          <c:spPr>
            <a:ln w="19050" cap="rnd">
              <a:solidFill>
                <a:srgbClr val="F5F5D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5F5DC"/>
              </a:solidFill>
              <a:ln w="9525">
                <a:noFill/>
              </a:ln>
              <a:effectLst/>
            </c:spPr>
          </c:marker>
          <c:xVal>
            <c:numRef>
              <c:f>'van der Wijst returns'!$J$2:$J$12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'van der Wijst returns'!$P$2:$P$12</c:f>
              <c:numCache>
                <c:formatCode>General</c:formatCode>
                <c:ptCount val="11"/>
                <c:pt idx="0">
                  <c:v>5.1715728752538084</c:v>
                </c:pt>
                <c:pt idx="1">
                  <c:v>5.9645843495937374</c:v>
                </c:pt>
                <c:pt idx="2">
                  <c:v>6.7033370452904224</c:v>
                </c:pt>
                <c:pt idx="3">
                  <c:v>7.2801960972814399</c:v>
                </c:pt>
                <c:pt idx="4">
                  <c:v>7.4202041028867267</c:v>
                </c:pt>
                <c:pt idx="5">
                  <c:v>7.0857864376269051</c:v>
                </c:pt>
                <c:pt idx="6">
                  <c:v>6.5603921945628842</c:v>
                </c:pt>
                <c:pt idx="7">
                  <c:v>5.972363660602829</c:v>
                </c:pt>
                <c:pt idx="8">
                  <c:v>5.3590698931829479</c:v>
                </c:pt>
                <c:pt idx="9">
                  <c:v>4.7334666688000668</c:v>
                </c:pt>
                <c:pt idx="10">
                  <c:v>4.1010205144336425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D-4FA2-837D-688DF9581E39}"/>
            </c:ext>
          </c:extLst>
        </c:ser>
        <c:ser>
          <c:idx val="1"/>
          <c:order val="1"/>
          <c:tx>
            <c:v>1-sigma High Return</c:v>
          </c:tx>
          <c:spPr>
            <a:ln w="19050" cap="rnd">
              <a:solidFill>
                <a:srgbClr val="F5F5DC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F5F5DC"/>
              </a:solidFill>
              <a:ln w="9525">
                <a:noFill/>
              </a:ln>
              <a:effectLst/>
            </c:spPr>
          </c:marker>
          <c:xVal>
            <c:numRef>
              <c:f>'van der Wijst returns'!$J$2:$J$12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'van der Wijst returns'!$Q$2:$Q$12</c:f>
              <c:numCache>
                <c:formatCode>General</c:formatCode>
                <c:ptCount val="11"/>
                <c:pt idx="0">
                  <c:v>10.82842712474619</c:v>
                </c:pt>
                <c:pt idx="1">
                  <c:v>10.235415650406262</c:v>
                </c:pt>
                <c:pt idx="2">
                  <c:v>9.6966629547095753</c:v>
                </c:pt>
                <c:pt idx="3">
                  <c:v>9.3198039027185544</c:v>
                </c:pt>
                <c:pt idx="4">
                  <c:v>9.3797958971132704</c:v>
                </c:pt>
                <c:pt idx="5">
                  <c:v>9.9142135623730958</c:v>
                </c:pt>
                <c:pt idx="6">
                  <c:v>10.639607805437112</c:v>
                </c:pt>
                <c:pt idx="7">
                  <c:v>11.42763633939717</c:v>
                </c:pt>
                <c:pt idx="8">
                  <c:v>12.24093010681705</c:v>
                </c:pt>
                <c:pt idx="9">
                  <c:v>13.066533331199931</c:v>
                </c:pt>
                <c:pt idx="10">
                  <c:v>13.898979485566354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2D-4FA2-837D-688DF9581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219647"/>
        <c:axId val="747220607"/>
      </c:scatterChart>
      <c:valAx>
        <c:axId val="74721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  <a:r>
                  <a:rPr lang="en-US" baseline="-25000"/>
                  <a:t>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20607"/>
        <c:crosses val="autoZero"/>
        <c:crossBetween val="midCat"/>
      </c:valAx>
      <c:valAx>
        <c:axId val="7472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Return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19647"/>
        <c:crosses val="autoZero"/>
        <c:crossBetween val="midCat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782066204726726"/>
          <c:y val="0.20575275986941763"/>
          <c:w val="0.26305325399991608"/>
          <c:h val="0.121360072709357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Return vs. Volatility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61130210836321"/>
          <c:y val="0.17171296296296296"/>
          <c:w val="0.72749436250046196"/>
          <c:h val="0.62308654126567509"/>
        </c:manualLayout>
      </c:layout>
      <c:scatterChart>
        <c:scatterStyle val="lineMarker"/>
        <c:varyColors val="0"/>
        <c:ser>
          <c:idx val="0"/>
          <c:order val="0"/>
          <c:tx>
            <c:v>Return against volatility</c:v>
          </c:tx>
          <c:spPr>
            <a:ln w="19050" cap="rnd">
              <a:solidFill>
                <a:srgbClr val="F5F5D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5F5DC"/>
              </a:solidFill>
              <a:ln w="9525">
                <a:noFill/>
              </a:ln>
              <a:effectLst/>
            </c:spPr>
          </c:marker>
          <c:xVal>
            <c:numRef>
              <c:f>'van der Wijst returns'!$N$2:$N$12</c:f>
              <c:numCache>
                <c:formatCode>General</c:formatCode>
                <c:ptCount val="11"/>
                <c:pt idx="0">
                  <c:v>2.8284271247461903</c:v>
                </c:pt>
                <c:pt idx="1">
                  <c:v>2.1354156504062622</c:v>
                </c:pt>
                <c:pt idx="2">
                  <c:v>1.4966629547095767</c:v>
                </c:pt>
                <c:pt idx="3">
                  <c:v>1.0198039027185568</c:v>
                </c:pt>
                <c:pt idx="4">
                  <c:v>0.97979589711327186</c:v>
                </c:pt>
                <c:pt idx="5">
                  <c:v>1.4142135623730951</c:v>
                </c:pt>
                <c:pt idx="6">
                  <c:v>2.0396078054371136</c:v>
                </c:pt>
                <c:pt idx="7">
                  <c:v>2.7276363393971703</c:v>
                </c:pt>
                <c:pt idx="8">
                  <c:v>3.4409301068170515</c:v>
                </c:pt>
                <c:pt idx="9">
                  <c:v>4.1665333311999317</c:v>
                </c:pt>
                <c:pt idx="10">
                  <c:v>4.8989794855663558</c:v>
                </c:pt>
              </c:numCache>
            </c:numRef>
          </c:xVal>
          <c:yVal>
            <c:numRef>
              <c:f>'van der Wijst returns'!$L$2:$L$12</c:f>
              <c:numCache>
                <c:formatCode>General</c:formatCode>
                <c:ptCount val="11"/>
                <c:pt idx="0">
                  <c:v>7.9999999999999991</c:v>
                </c:pt>
                <c:pt idx="1">
                  <c:v>8.1</c:v>
                </c:pt>
                <c:pt idx="2">
                  <c:v>8.1999999999999993</c:v>
                </c:pt>
                <c:pt idx="3">
                  <c:v>8.2999999999999972</c:v>
                </c:pt>
                <c:pt idx="4">
                  <c:v>8.3999999999999986</c:v>
                </c:pt>
                <c:pt idx="5">
                  <c:v>8.5</c:v>
                </c:pt>
                <c:pt idx="6">
                  <c:v>8.5999999999999979</c:v>
                </c:pt>
                <c:pt idx="7">
                  <c:v>8.6999999999999993</c:v>
                </c:pt>
                <c:pt idx="8">
                  <c:v>8.7999999999999989</c:v>
                </c:pt>
                <c:pt idx="9">
                  <c:v>8.8999999999999986</c:v>
                </c:pt>
                <c:pt idx="10">
                  <c:v>8.9999999999999982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3-484A-87DD-AF091A1F3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219647"/>
        <c:axId val="747220607"/>
      </c:scatterChart>
      <c:valAx>
        <c:axId val="74721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 [</a:t>
                </a:r>
                <a:r>
                  <a:rPr lang="en-US">
                    <a:latin typeface="Symbol" panose="05050102010706020507" pitchFamily="18" charset="2"/>
                  </a:rPr>
                  <a:t>s</a:t>
                </a:r>
                <a:r>
                  <a:rPr lang="en-US" baseline="-25000"/>
                  <a:t>p</a:t>
                </a:r>
                <a:r>
                  <a:rPr lang="en-US" baseline="0"/>
                  <a:t>]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20607"/>
        <c:crosses val="autoZero"/>
        <c:crossBetween val="midCat"/>
      </c:valAx>
      <c:valAx>
        <c:axId val="7472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Return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19647"/>
        <c:crosses val="autoZero"/>
        <c:crossBetween val="midCat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Return &amp; Volatility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61130210836321"/>
          <c:y val="0.17171296296296296"/>
          <c:w val="0.72749436250046196"/>
          <c:h val="0.62308654126567509"/>
        </c:manualLayout>
      </c:layout>
      <c:scatterChart>
        <c:scatterStyle val="lineMarker"/>
        <c:varyColors val="0"/>
        <c:ser>
          <c:idx val="0"/>
          <c:order val="0"/>
          <c:tx>
            <c:v>Expected Return</c:v>
          </c:tx>
          <c:spPr>
            <a:ln w="19050" cap="rnd">
              <a:solidFill>
                <a:srgbClr val="F5F5D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5F5DC"/>
              </a:solidFill>
              <a:ln w="9525">
                <a:noFill/>
              </a:ln>
              <a:effectLst/>
            </c:spPr>
          </c:marker>
          <c:xVal>
            <c:numRef>
              <c:f>'my turnabout example'!$J$2:$J$12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'my turnabout example'!$L$2:$L$12</c:f>
              <c:numCache>
                <c:formatCode>General</c:formatCode>
                <c:ptCount val="11"/>
                <c:pt idx="0">
                  <c:v>7.9999999999999991</c:v>
                </c:pt>
                <c:pt idx="1">
                  <c:v>8.1</c:v>
                </c:pt>
                <c:pt idx="2">
                  <c:v>8.1999999999999993</c:v>
                </c:pt>
                <c:pt idx="3">
                  <c:v>8.2999999999999972</c:v>
                </c:pt>
                <c:pt idx="4">
                  <c:v>8.3999999999999986</c:v>
                </c:pt>
                <c:pt idx="5">
                  <c:v>8.5</c:v>
                </c:pt>
                <c:pt idx="6">
                  <c:v>8.5999999999999979</c:v>
                </c:pt>
                <c:pt idx="7">
                  <c:v>8.6999999999999993</c:v>
                </c:pt>
                <c:pt idx="8">
                  <c:v>8.7999999999999989</c:v>
                </c:pt>
                <c:pt idx="9">
                  <c:v>8.8999999999999986</c:v>
                </c:pt>
                <c:pt idx="10">
                  <c:v>8.9999999999999982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1-48CB-B043-3748C1612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219647"/>
        <c:axId val="747220607"/>
      </c:scatterChart>
      <c:scatterChart>
        <c:scatterStyle val="lineMarker"/>
        <c:varyColors val="0"/>
        <c:ser>
          <c:idx val="1"/>
          <c:order val="1"/>
          <c:tx>
            <c:v>Volatility</c:v>
          </c:tx>
          <c:spPr>
            <a:ln w="19050" cap="rnd">
              <a:solidFill>
                <a:srgbClr val="F5F5DC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F5F5DC"/>
              </a:solidFill>
              <a:ln w="9525">
                <a:noFill/>
              </a:ln>
              <a:effectLst/>
            </c:spPr>
          </c:marker>
          <c:xVal>
            <c:numRef>
              <c:f>'my turnabout example'!$J$2:$J$12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'my turnabout example'!$N$2:$N$12</c:f>
              <c:numCache>
                <c:formatCode>General</c:formatCode>
                <c:ptCount val="11"/>
                <c:pt idx="0">
                  <c:v>2.8284271247461903</c:v>
                </c:pt>
                <c:pt idx="1">
                  <c:v>2.979932885150268</c:v>
                </c:pt>
                <c:pt idx="2">
                  <c:v>3.1496031496047245</c:v>
                </c:pt>
                <c:pt idx="3">
                  <c:v>3.3346664001066131</c:v>
                </c:pt>
                <c:pt idx="4">
                  <c:v>3.5327043465311387</c:v>
                </c:pt>
                <c:pt idx="5">
                  <c:v>3.7416573867739409</c:v>
                </c:pt>
                <c:pt idx="6">
                  <c:v>3.9597979746446659</c:v>
                </c:pt>
                <c:pt idx="7">
                  <c:v>4.1856899072912697</c:v>
                </c:pt>
                <c:pt idx="8">
                  <c:v>4.4181444068749043</c:v>
                </c:pt>
                <c:pt idx="9">
                  <c:v>4.656178690729126</c:v>
                </c:pt>
                <c:pt idx="10">
                  <c:v>4.8989794855663558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81-48CB-B043-3748C1612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769664"/>
        <c:axId val="1317768224"/>
      </c:scatterChart>
      <c:valAx>
        <c:axId val="74721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  <a:r>
                  <a:rPr lang="en-US" baseline="-25000"/>
                  <a:t>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20607"/>
        <c:crosses val="autoZero"/>
        <c:crossBetween val="midCat"/>
      </c:valAx>
      <c:valAx>
        <c:axId val="7472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Return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19647"/>
        <c:crosses val="autoZero"/>
        <c:crossBetween val="midCat"/>
      </c:valAx>
      <c:valAx>
        <c:axId val="13177682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Volatility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769664"/>
        <c:crosses val="max"/>
        <c:crossBetween val="midCat"/>
      </c:valAx>
      <c:valAx>
        <c:axId val="1317769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7768224"/>
        <c:crosses val="autoZero"/>
        <c:crossBetween val="midCat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782066204726726"/>
          <c:y val="0.20575275986941763"/>
          <c:w val="0.17999466906489625"/>
          <c:h val="0.121360072709357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Envelope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61130210836321"/>
          <c:y val="0.17171296296296296"/>
          <c:w val="0.72749436250046196"/>
          <c:h val="0.62308654126567509"/>
        </c:manualLayout>
      </c:layout>
      <c:scatterChart>
        <c:scatterStyle val="lineMarker"/>
        <c:varyColors val="0"/>
        <c:ser>
          <c:idx val="0"/>
          <c:order val="0"/>
          <c:tx>
            <c:v>1-sigma Low Return</c:v>
          </c:tx>
          <c:spPr>
            <a:ln w="19050" cap="rnd">
              <a:solidFill>
                <a:srgbClr val="F5F5D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5F5DC"/>
              </a:solidFill>
              <a:ln w="9525">
                <a:noFill/>
              </a:ln>
              <a:effectLst/>
            </c:spPr>
          </c:marker>
          <c:xVal>
            <c:numRef>
              <c:f>'my turnabout example'!$J$2:$J$12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'my turnabout example'!$P$2:$P$12</c:f>
              <c:numCache>
                <c:formatCode>General</c:formatCode>
                <c:ptCount val="11"/>
                <c:pt idx="0">
                  <c:v>5.1715728752538084</c:v>
                </c:pt>
                <c:pt idx="1">
                  <c:v>5.1200671148497321</c:v>
                </c:pt>
                <c:pt idx="2">
                  <c:v>5.0503968503952752</c:v>
                </c:pt>
                <c:pt idx="3">
                  <c:v>4.9653335998933841</c:v>
                </c:pt>
                <c:pt idx="4">
                  <c:v>4.8672956534688598</c:v>
                </c:pt>
                <c:pt idx="5">
                  <c:v>4.7583426132260591</c:v>
                </c:pt>
                <c:pt idx="6">
                  <c:v>4.6402020253553324</c:v>
                </c:pt>
                <c:pt idx="7">
                  <c:v>4.5143100927087296</c:v>
                </c:pt>
                <c:pt idx="8">
                  <c:v>4.3818555931250947</c:v>
                </c:pt>
                <c:pt idx="9">
                  <c:v>4.2438213092708725</c:v>
                </c:pt>
                <c:pt idx="10">
                  <c:v>4.1010205144336425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F2-433D-962B-E4882AD3E86A}"/>
            </c:ext>
          </c:extLst>
        </c:ser>
        <c:ser>
          <c:idx val="1"/>
          <c:order val="1"/>
          <c:tx>
            <c:v>1-sigma High Return</c:v>
          </c:tx>
          <c:spPr>
            <a:ln w="19050" cap="rnd">
              <a:solidFill>
                <a:srgbClr val="F5F5DC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F5F5DC"/>
              </a:solidFill>
              <a:ln w="9525">
                <a:noFill/>
              </a:ln>
              <a:effectLst/>
            </c:spPr>
          </c:marker>
          <c:xVal>
            <c:numRef>
              <c:f>'my turnabout example'!$J$2:$J$12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'my turnabout example'!$Q$2:$Q$12</c:f>
              <c:numCache>
                <c:formatCode>General</c:formatCode>
                <c:ptCount val="11"/>
                <c:pt idx="0">
                  <c:v>10.82842712474619</c:v>
                </c:pt>
                <c:pt idx="1">
                  <c:v>11.079932885150267</c:v>
                </c:pt>
                <c:pt idx="2">
                  <c:v>11.349603149604723</c:v>
                </c:pt>
                <c:pt idx="3">
                  <c:v>11.63466640010661</c:v>
                </c:pt>
                <c:pt idx="4">
                  <c:v>11.932704346531137</c:v>
                </c:pt>
                <c:pt idx="5">
                  <c:v>12.241657386773941</c:v>
                </c:pt>
                <c:pt idx="6">
                  <c:v>12.559797974644663</c:v>
                </c:pt>
                <c:pt idx="7">
                  <c:v>12.885689907291269</c:v>
                </c:pt>
                <c:pt idx="8">
                  <c:v>13.218144406874902</c:v>
                </c:pt>
                <c:pt idx="9">
                  <c:v>13.556178690729125</c:v>
                </c:pt>
                <c:pt idx="10">
                  <c:v>13.898979485566354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F2-433D-962B-E4882AD3E86A}"/>
            </c:ext>
          </c:extLst>
        </c:ser>
        <c:ser>
          <c:idx val="2"/>
          <c:order val="2"/>
          <c:tx>
            <c:v>3-sigma Low Return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'my turnabout example'!$J$2:$J$12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'my turnabout example'!$O$2:$O$12</c:f>
              <c:numCache>
                <c:formatCode>General</c:formatCode>
                <c:ptCount val="11"/>
                <c:pt idx="0">
                  <c:v>-0.48528137423857221</c:v>
                </c:pt>
                <c:pt idx="1">
                  <c:v>-0.83979865545080479</c:v>
                </c:pt>
                <c:pt idx="2">
                  <c:v>-1.2488094488141748</c:v>
                </c:pt>
                <c:pt idx="3">
                  <c:v>-1.7039992003198421</c:v>
                </c:pt>
                <c:pt idx="4">
                  <c:v>-2.1981130395934176</c:v>
                </c:pt>
                <c:pt idx="5">
                  <c:v>-2.7249721603218227</c:v>
                </c:pt>
                <c:pt idx="6">
                  <c:v>-3.2793939239340002</c:v>
                </c:pt>
                <c:pt idx="7">
                  <c:v>-3.8570697218738097</c:v>
                </c:pt>
                <c:pt idx="8">
                  <c:v>-4.454433220624713</c:v>
                </c:pt>
                <c:pt idx="9">
                  <c:v>-5.0685360721873796</c:v>
                </c:pt>
                <c:pt idx="10">
                  <c:v>-5.6969384566990691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F2-433D-962B-E4882AD3E86A}"/>
            </c:ext>
          </c:extLst>
        </c:ser>
        <c:ser>
          <c:idx val="3"/>
          <c:order val="3"/>
          <c:tx>
            <c:v>3-sigma High Return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'my turnabout example'!$J$2:$J$12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'my turnabout example'!$R$2:$R$12</c:f>
              <c:numCache>
                <c:formatCode>General</c:formatCode>
                <c:ptCount val="11"/>
                <c:pt idx="0">
                  <c:v>16.485281374238571</c:v>
                </c:pt>
                <c:pt idx="1">
                  <c:v>17.039798655450802</c:v>
                </c:pt>
                <c:pt idx="2">
                  <c:v>17.648809448814173</c:v>
                </c:pt>
                <c:pt idx="3">
                  <c:v>18.303999200319836</c:v>
                </c:pt>
                <c:pt idx="4">
                  <c:v>18.998113039593413</c:v>
                </c:pt>
                <c:pt idx="5">
                  <c:v>19.724972160321823</c:v>
                </c:pt>
                <c:pt idx="6">
                  <c:v>20.479393923933998</c:v>
                </c:pt>
                <c:pt idx="7">
                  <c:v>21.257069721873808</c:v>
                </c:pt>
                <c:pt idx="8">
                  <c:v>22.054433220624709</c:v>
                </c:pt>
                <c:pt idx="9">
                  <c:v>22.868536072187375</c:v>
                </c:pt>
                <c:pt idx="10">
                  <c:v>23.696938456699066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F2-433D-962B-E4882AD3E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219647"/>
        <c:axId val="747220607"/>
      </c:scatterChart>
      <c:valAx>
        <c:axId val="74721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  <a:r>
                  <a:rPr lang="en-US" baseline="-25000"/>
                  <a:t>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F5F5DC">
                <a:alpha val="92000"/>
              </a:srgb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20607"/>
        <c:crosses val="autoZero"/>
        <c:crossBetween val="midCat"/>
      </c:valAx>
      <c:valAx>
        <c:axId val="7472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Return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19647"/>
        <c:crosses val="autoZero"/>
        <c:crossBetween val="midCat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351083231018828"/>
          <c:y val="0.18058195799958662"/>
          <c:w val="0.20778922675759351"/>
          <c:h val="0.163611910970675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13</xdr:row>
      <xdr:rowOff>83820</xdr:rowOff>
    </xdr:from>
    <xdr:to>
      <xdr:col>9</xdr:col>
      <xdr:colOff>599789</xdr:colOff>
      <xdr:row>32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F74BD2-E05D-45A2-B844-A2D568886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441960</xdr:colOff>
      <xdr:row>13</xdr:row>
      <xdr:rowOff>83820</xdr:rowOff>
    </xdr:from>
    <xdr:to>
      <xdr:col>20</xdr:col>
      <xdr:colOff>333089</xdr:colOff>
      <xdr:row>32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B4FFB5-DA12-F0D4-5DB2-42F306202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495300</xdr:colOff>
      <xdr:row>35</xdr:row>
      <xdr:rowOff>22860</xdr:rowOff>
    </xdr:from>
    <xdr:to>
      <xdr:col>16</xdr:col>
      <xdr:colOff>58769</xdr:colOff>
      <xdr:row>54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ED6B4-9694-4A69-80F0-F96B6B421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13</xdr:row>
      <xdr:rowOff>83820</xdr:rowOff>
    </xdr:from>
    <xdr:to>
      <xdr:col>9</xdr:col>
      <xdr:colOff>599789</xdr:colOff>
      <xdr:row>32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BFC0D-6966-4BD6-9CF3-96727D744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441960</xdr:colOff>
      <xdr:row>13</xdr:row>
      <xdr:rowOff>83820</xdr:rowOff>
    </xdr:from>
    <xdr:to>
      <xdr:col>20</xdr:col>
      <xdr:colOff>333089</xdr:colOff>
      <xdr:row>32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01E984-4C19-4B56-BDD5-7C7BAB6A6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AB82-751B-4607-B717-1D6F3C47D1F0}">
  <dimension ref="A1:R13"/>
  <sheetViews>
    <sheetView topLeftCell="A28" workbookViewId="0">
      <selection activeCell="S46" sqref="S46"/>
    </sheetView>
  </sheetViews>
  <sheetFormatPr defaultRowHeight="14.4" x14ac:dyDescent="0.3"/>
  <cols>
    <col min="2" max="2" width="18.88671875" bestFit="1" customWidth="1"/>
    <col min="17" max="17" width="13" customWidth="1"/>
  </cols>
  <sheetData>
    <row r="1" spans="1:18" x14ac:dyDescent="0.3">
      <c r="A1" s="1" t="s">
        <v>0</v>
      </c>
      <c r="B1" s="1" t="s">
        <v>1</v>
      </c>
      <c r="C1" s="2" t="s">
        <v>4</v>
      </c>
      <c r="D1" s="2"/>
      <c r="F1" t="s">
        <v>18</v>
      </c>
      <c r="J1" t="s">
        <v>19</v>
      </c>
      <c r="K1" t="s">
        <v>22</v>
      </c>
      <c r="L1" t="s">
        <v>10</v>
      </c>
      <c r="M1" t="s">
        <v>11</v>
      </c>
      <c r="N1" t="s">
        <v>12</v>
      </c>
      <c r="O1" t="s">
        <v>13</v>
      </c>
      <c r="P1" t="s">
        <v>16</v>
      </c>
      <c r="Q1" t="s">
        <v>17</v>
      </c>
      <c r="R1" t="s">
        <v>14</v>
      </c>
    </row>
    <row r="2" spans="1:18" x14ac:dyDescent="0.3">
      <c r="A2" s="1"/>
      <c r="B2" s="1"/>
      <c r="C2" t="s">
        <v>2</v>
      </c>
      <c r="D2" t="s">
        <v>3</v>
      </c>
      <c r="F2" t="s">
        <v>20</v>
      </c>
      <c r="G2">
        <v>0.4</v>
      </c>
      <c r="J2">
        <v>0</v>
      </c>
      <c r="K2">
        <f>1-J2</f>
        <v>1</v>
      </c>
      <c r="L2">
        <f>(J2*$C$6+K2*$D$6)*100</f>
        <v>7.9999999999999991</v>
      </c>
      <c r="M2">
        <f t="shared" ref="M2:M12" si="0">J2*J2*$F$9+J2*K2*$G$9+K2*J2*$F$10+K2*K2*$G$10</f>
        <v>7.9999999999999993E-4</v>
      </c>
      <c r="N2">
        <f>SQRT(M2)*100</f>
        <v>2.8284271247461903</v>
      </c>
      <c r="O2">
        <f>($L2-3*$N2)</f>
        <v>-0.48528137423857221</v>
      </c>
      <c r="P2">
        <f>($L2-1*$N2)</f>
        <v>5.1715728752538084</v>
      </c>
      <c r="Q2">
        <f>($L2+1*$N2)</f>
        <v>10.82842712474619</v>
      </c>
      <c r="R2">
        <f>($L2+3*$N2)</f>
        <v>16.485281374238571</v>
      </c>
    </row>
    <row r="3" spans="1:18" x14ac:dyDescent="0.3">
      <c r="A3">
        <v>1</v>
      </c>
      <c r="B3">
        <f>1/3</f>
        <v>0.33333333333333331</v>
      </c>
      <c r="C3">
        <v>0.15</v>
      </c>
      <c r="D3">
        <v>0.06</v>
      </c>
      <c r="F3" t="s">
        <v>21</v>
      </c>
      <c r="G3">
        <f>1-G2</f>
        <v>0.6</v>
      </c>
      <c r="J3">
        <v>0.1</v>
      </c>
      <c r="K3">
        <f t="shared" ref="K3:K12" si="1">1-J3</f>
        <v>0.9</v>
      </c>
      <c r="L3">
        <f t="shared" ref="L3:L12" si="2">(J3*$C$6+K3*$D$6)*100</f>
        <v>8.1</v>
      </c>
      <c r="M3">
        <f t="shared" si="0"/>
        <v>4.5600000000000003E-4</v>
      </c>
      <c r="N3">
        <f t="shared" ref="N3:N12" si="3">SQRT(M3)*100</f>
        <v>2.1354156504062622</v>
      </c>
      <c r="O3">
        <f t="shared" ref="O3:O12" si="4">($L3-3*$N3)</f>
        <v>1.6937530487812129</v>
      </c>
      <c r="P3">
        <f t="shared" ref="P3:P12" si="5">($L3-1*$N3)</f>
        <v>5.9645843495937374</v>
      </c>
      <c r="Q3">
        <f t="shared" ref="Q3:Q12" si="6">($L3+1*$N3)</f>
        <v>10.235415650406262</v>
      </c>
      <c r="R3">
        <f t="shared" ref="R3:R12" si="7">($L3+3*$N3)</f>
        <v>14.506246951218786</v>
      </c>
    </row>
    <row r="4" spans="1:18" x14ac:dyDescent="0.3">
      <c r="A4">
        <v>2</v>
      </c>
      <c r="B4">
        <f t="shared" ref="B4:B5" si="8">1/3</f>
        <v>0.33333333333333331</v>
      </c>
      <c r="C4">
        <v>0.09</v>
      </c>
      <c r="D4">
        <v>0.06</v>
      </c>
      <c r="J4">
        <v>0.2</v>
      </c>
      <c r="K4">
        <f t="shared" si="1"/>
        <v>0.8</v>
      </c>
      <c r="L4">
        <f t="shared" si="2"/>
        <v>8.1999999999999993</v>
      </c>
      <c r="M4">
        <f t="shared" si="0"/>
        <v>2.2400000000000002E-4</v>
      </c>
      <c r="N4">
        <f t="shared" si="3"/>
        <v>1.4966629547095767</v>
      </c>
      <c r="O4">
        <f t="shared" si="4"/>
        <v>3.7100111358712695</v>
      </c>
      <c r="P4">
        <f t="shared" si="5"/>
        <v>6.7033370452904224</v>
      </c>
      <c r="Q4">
        <f t="shared" si="6"/>
        <v>9.6966629547095753</v>
      </c>
      <c r="R4">
        <f t="shared" si="7"/>
        <v>12.689988864128729</v>
      </c>
    </row>
    <row r="5" spans="1:18" x14ac:dyDescent="0.3">
      <c r="A5">
        <v>3</v>
      </c>
      <c r="B5">
        <f t="shared" si="8"/>
        <v>0.33333333333333331</v>
      </c>
      <c r="C5">
        <v>0.03</v>
      </c>
      <c r="D5">
        <v>0.12</v>
      </c>
      <c r="F5" t="s">
        <v>6</v>
      </c>
      <c r="J5">
        <v>0.3</v>
      </c>
      <c r="K5">
        <f t="shared" si="1"/>
        <v>0.7</v>
      </c>
      <c r="L5">
        <f t="shared" si="2"/>
        <v>8.2999999999999972</v>
      </c>
      <c r="M5">
        <f t="shared" si="0"/>
        <v>1.0399999999999998E-4</v>
      </c>
      <c r="N5">
        <f t="shared" si="3"/>
        <v>1.0198039027185568</v>
      </c>
      <c r="O5">
        <f t="shared" si="4"/>
        <v>5.2405882918443272</v>
      </c>
      <c r="P5">
        <f t="shared" si="5"/>
        <v>7.2801960972814399</v>
      </c>
      <c r="Q5">
        <f t="shared" si="6"/>
        <v>9.3198039027185544</v>
      </c>
      <c r="R5">
        <f t="shared" si="7"/>
        <v>11.359411708155667</v>
      </c>
    </row>
    <row r="6" spans="1:18" x14ac:dyDescent="0.3">
      <c r="B6" t="s">
        <v>7</v>
      </c>
      <c r="C6">
        <f>($B3*C3+$B4*C4+$B5*C5)</f>
        <v>8.9999999999999983E-2</v>
      </c>
      <c r="D6">
        <f>($B3*D3+$B4*D4+$B5*D5)</f>
        <v>7.9999999999999988E-2</v>
      </c>
      <c r="F6">
        <f>G2*C6+G3*D6</f>
        <v>8.3999999999999991E-2</v>
      </c>
      <c r="J6">
        <v>0.4</v>
      </c>
      <c r="K6">
        <f t="shared" si="1"/>
        <v>0.6</v>
      </c>
      <c r="L6">
        <f t="shared" si="2"/>
        <v>8.3999999999999986</v>
      </c>
      <c r="M6">
        <f t="shared" si="0"/>
        <v>9.6000000000000111E-5</v>
      </c>
      <c r="N6">
        <f t="shared" si="3"/>
        <v>0.97979589711327186</v>
      </c>
      <c r="O6">
        <f t="shared" si="4"/>
        <v>5.460612308660183</v>
      </c>
      <c r="P6">
        <f t="shared" si="5"/>
        <v>7.4202041028867267</v>
      </c>
      <c r="Q6">
        <f t="shared" si="6"/>
        <v>9.3797958971132704</v>
      </c>
      <c r="R6">
        <f t="shared" si="7"/>
        <v>11.339387691339814</v>
      </c>
    </row>
    <row r="7" spans="1:18" x14ac:dyDescent="0.3">
      <c r="B7" t="s">
        <v>8</v>
      </c>
      <c r="C7">
        <f>_xlfn.COVARIANCE.P(C3:C5,C3:C5)</f>
        <v>2.3999999999999998E-3</v>
      </c>
      <c r="D7">
        <f>_xlfn.COVARIANCE.P(D3:D5,D3:D5)</f>
        <v>7.9999999999999993E-4</v>
      </c>
      <c r="J7">
        <v>0.5</v>
      </c>
      <c r="K7">
        <f t="shared" si="1"/>
        <v>0.5</v>
      </c>
      <c r="L7">
        <f t="shared" si="2"/>
        <v>8.5</v>
      </c>
      <c r="M7">
        <f t="shared" si="0"/>
        <v>1.9999999999999998E-4</v>
      </c>
      <c r="N7">
        <f t="shared" si="3"/>
        <v>1.4142135623730951</v>
      </c>
      <c r="O7">
        <f t="shared" si="4"/>
        <v>4.2573593128807143</v>
      </c>
      <c r="P7">
        <f t="shared" si="5"/>
        <v>7.0857864376269051</v>
      </c>
      <c r="Q7">
        <f t="shared" si="6"/>
        <v>9.9142135623730958</v>
      </c>
      <c r="R7">
        <f t="shared" si="7"/>
        <v>12.742640687119286</v>
      </c>
    </row>
    <row r="8" spans="1:18" x14ac:dyDescent="0.3">
      <c r="B8" t="s">
        <v>15</v>
      </c>
      <c r="C8">
        <f>SQRT(C7)</f>
        <v>4.8989794855663557E-2</v>
      </c>
      <c r="D8">
        <f>SQRT(D7)</f>
        <v>2.8284271247461901E-2</v>
      </c>
      <c r="F8" t="s">
        <v>5</v>
      </c>
      <c r="J8">
        <v>0.6</v>
      </c>
      <c r="K8">
        <f t="shared" si="1"/>
        <v>0.4</v>
      </c>
      <c r="L8">
        <f t="shared" si="2"/>
        <v>8.5999999999999979</v>
      </c>
      <c r="M8">
        <f t="shared" si="0"/>
        <v>4.1599999999999997E-4</v>
      </c>
      <c r="N8">
        <f t="shared" si="3"/>
        <v>2.0396078054371136</v>
      </c>
      <c r="O8">
        <f t="shared" si="4"/>
        <v>2.481176583688657</v>
      </c>
      <c r="P8">
        <f t="shared" si="5"/>
        <v>6.5603921945628842</v>
      </c>
      <c r="Q8">
        <f t="shared" si="6"/>
        <v>10.639607805437112</v>
      </c>
      <c r="R8">
        <f t="shared" si="7"/>
        <v>14.718823416311338</v>
      </c>
    </row>
    <row r="9" spans="1:18" x14ac:dyDescent="0.3">
      <c r="F9">
        <f>_xlfn.COVARIANCE.P(C3:C5,C3:C5)</f>
        <v>2.3999999999999998E-3</v>
      </c>
      <c r="G9">
        <f>_xlfn.COVARIANCE.P(C3:C5,D3:D5)</f>
        <v>-1.1999999999999999E-3</v>
      </c>
      <c r="J9">
        <v>0.7</v>
      </c>
      <c r="K9">
        <f t="shared" si="1"/>
        <v>0.30000000000000004</v>
      </c>
      <c r="L9">
        <f t="shared" si="2"/>
        <v>8.6999999999999993</v>
      </c>
      <c r="M9">
        <f t="shared" si="0"/>
        <v>7.4399999999999965E-4</v>
      </c>
      <c r="N9">
        <f t="shared" si="3"/>
        <v>2.7276363393971703</v>
      </c>
      <c r="O9">
        <f t="shared" si="4"/>
        <v>0.51709098180848834</v>
      </c>
      <c r="P9">
        <f t="shared" si="5"/>
        <v>5.972363660602829</v>
      </c>
      <c r="Q9">
        <f t="shared" si="6"/>
        <v>11.42763633939717</v>
      </c>
      <c r="R9">
        <f t="shared" si="7"/>
        <v>16.882909018191512</v>
      </c>
    </row>
    <row r="10" spans="1:18" x14ac:dyDescent="0.3">
      <c r="F10">
        <f>_xlfn.COVARIANCE.P(D3:D5,C3:C5)</f>
        <v>-1.1999999999999999E-3</v>
      </c>
      <c r="G10">
        <f>_xlfn.COVARIANCE.P(D3:D5,D3:D5)</f>
        <v>7.9999999999999993E-4</v>
      </c>
      <c r="J10">
        <v>0.8</v>
      </c>
      <c r="K10">
        <f t="shared" si="1"/>
        <v>0.19999999999999996</v>
      </c>
      <c r="L10">
        <f t="shared" si="2"/>
        <v>8.7999999999999989</v>
      </c>
      <c r="M10">
        <f t="shared" si="0"/>
        <v>1.1840000000000004E-3</v>
      </c>
      <c r="N10">
        <f t="shared" si="3"/>
        <v>3.4409301068170515</v>
      </c>
      <c r="O10">
        <f t="shared" si="4"/>
        <v>-1.5227903204511559</v>
      </c>
      <c r="P10">
        <f t="shared" si="5"/>
        <v>5.3590698931829479</v>
      </c>
      <c r="Q10">
        <f t="shared" si="6"/>
        <v>12.24093010681705</v>
      </c>
      <c r="R10">
        <f t="shared" si="7"/>
        <v>19.122790320451152</v>
      </c>
    </row>
    <row r="11" spans="1:18" x14ac:dyDescent="0.3">
      <c r="J11">
        <v>0.9</v>
      </c>
      <c r="K11">
        <f t="shared" si="1"/>
        <v>9.9999999999999978E-2</v>
      </c>
      <c r="L11">
        <f t="shared" si="2"/>
        <v>8.8999999999999986</v>
      </c>
      <c r="M11">
        <f t="shared" si="0"/>
        <v>1.7359999999999999E-3</v>
      </c>
      <c r="N11">
        <f t="shared" si="3"/>
        <v>4.1665333311999317</v>
      </c>
      <c r="O11">
        <f t="shared" si="4"/>
        <v>-3.5995999935997958</v>
      </c>
      <c r="P11">
        <f t="shared" si="5"/>
        <v>4.7334666688000668</v>
      </c>
      <c r="Q11">
        <f t="shared" si="6"/>
        <v>13.066533331199931</v>
      </c>
      <c r="R11">
        <f t="shared" si="7"/>
        <v>21.399599993599793</v>
      </c>
    </row>
    <row r="12" spans="1:18" x14ac:dyDescent="0.3">
      <c r="F12" t="s">
        <v>9</v>
      </c>
      <c r="J12">
        <v>1</v>
      </c>
      <c r="K12">
        <f t="shared" si="1"/>
        <v>0</v>
      </c>
      <c r="L12">
        <f t="shared" si="2"/>
        <v>8.9999999999999982</v>
      </c>
      <c r="M12">
        <f t="shared" si="0"/>
        <v>2.3999999999999998E-3</v>
      </c>
      <c r="N12">
        <f t="shared" si="3"/>
        <v>4.8989794855663558</v>
      </c>
      <c r="O12">
        <f t="shared" si="4"/>
        <v>-5.6969384566990691</v>
      </c>
      <c r="P12">
        <f t="shared" si="5"/>
        <v>4.1010205144336425</v>
      </c>
      <c r="Q12">
        <f t="shared" si="6"/>
        <v>13.898979485566354</v>
      </c>
      <c r="R12">
        <f t="shared" si="7"/>
        <v>23.696938456699066</v>
      </c>
    </row>
    <row r="13" spans="1:18" x14ac:dyDescent="0.3">
      <c r="F13">
        <f>G2*G2*F9+G2*G3*G9+G3*G2*F10+G3*G3*G10</f>
        <v>9.6000000000000111E-5</v>
      </c>
    </row>
  </sheetData>
  <mergeCells count="3">
    <mergeCell ref="A1:A2"/>
    <mergeCell ref="B1:B2"/>
    <mergeCell ref="C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4E63-5F20-4837-A00F-044772AB8297}">
  <dimension ref="A1:R13"/>
  <sheetViews>
    <sheetView tabSelected="1" topLeftCell="A7" workbookViewId="0">
      <selection activeCell="V24" sqref="V24"/>
    </sheetView>
  </sheetViews>
  <sheetFormatPr defaultRowHeight="14.4" x14ac:dyDescent="0.3"/>
  <cols>
    <col min="2" max="2" width="18.88671875" bestFit="1" customWidth="1"/>
    <col min="17" max="17" width="13" customWidth="1"/>
  </cols>
  <sheetData>
    <row r="1" spans="1:18" x14ac:dyDescent="0.3">
      <c r="A1" s="1" t="s">
        <v>0</v>
      </c>
      <c r="B1" s="1" t="s">
        <v>1</v>
      </c>
      <c r="C1" s="2" t="s">
        <v>4</v>
      </c>
      <c r="D1" s="2"/>
      <c r="F1" t="s">
        <v>18</v>
      </c>
      <c r="J1" t="s">
        <v>19</v>
      </c>
      <c r="K1" t="s">
        <v>22</v>
      </c>
      <c r="L1" t="s">
        <v>10</v>
      </c>
      <c r="M1" t="s">
        <v>11</v>
      </c>
      <c r="N1" t="s">
        <v>12</v>
      </c>
      <c r="O1" t="s">
        <v>13</v>
      </c>
      <c r="P1" t="s">
        <v>16</v>
      </c>
      <c r="Q1" t="s">
        <v>17</v>
      </c>
      <c r="R1" t="s">
        <v>14</v>
      </c>
    </row>
    <row r="2" spans="1:18" x14ac:dyDescent="0.3">
      <c r="A2" s="1"/>
      <c r="B2" s="1"/>
      <c r="C2" t="s">
        <v>2</v>
      </c>
      <c r="D2" t="s">
        <v>3</v>
      </c>
      <c r="F2" t="s">
        <v>20</v>
      </c>
      <c r="G2">
        <v>0.4</v>
      </c>
      <c r="J2">
        <v>0</v>
      </c>
      <c r="K2">
        <f>1-J2</f>
        <v>1</v>
      </c>
      <c r="L2">
        <f>(J2*$C$6+K2*$D$6)*100</f>
        <v>7.9999999999999991</v>
      </c>
      <c r="M2">
        <f t="shared" ref="M2:M12" si="0">J2*J2*$F$9+J2*K2*$G$9+K2*J2*$F$10+K2*K2*$G$10</f>
        <v>7.9999999999999993E-4</v>
      </c>
      <c r="N2">
        <f>SQRT(M2)*100</f>
        <v>2.8284271247461903</v>
      </c>
      <c r="O2">
        <f>($L2-3*$N2)</f>
        <v>-0.48528137423857221</v>
      </c>
      <c r="P2">
        <f>($L2-1*$N2)</f>
        <v>5.1715728752538084</v>
      </c>
      <c r="Q2">
        <f>($L2+1*$N2)</f>
        <v>10.82842712474619</v>
      </c>
      <c r="R2">
        <f>($L2+3*$N2)</f>
        <v>16.485281374238571</v>
      </c>
    </row>
    <row r="3" spans="1:18" x14ac:dyDescent="0.3">
      <c r="A3">
        <v>1</v>
      </c>
      <c r="B3">
        <f>1/3</f>
        <v>0.33333333333333331</v>
      </c>
      <c r="C3">
        <v>0.15</v>
      </c>
      <c r="D3">
        <v>0.12</v>
      </c>
      <c r="F3" t="s">
        <v>21</v>
      </c>
      <c r="G3">
        <f>1-G2</f>
        <v>0.6</v>
      </c>
      <c r="J3">
        <v>0.1</v>
      </c>
      <c r="K3">
        <f t="shared" ref="K3:K12" si="1">1-J3</f>
        <v>0.9</v>
      </c>
      <c r="L3">
        <f t="shared" ref="L3:L12" si="2">(J3*$C$6+K3*$D$6)*100</f>
        <v>8.1</v>
      </c>
      <c r="M3">
        <f t="shared" si="0"/>
        <v>8.8800000000000012E-4</v>
      </c>
      <c r="N3">
        <f t="shared" ref="N3:N12" si="3">SQRT(M3)*100</f>
        <v>2.979932885150268</v>
      </c>
      <c r="O3">
        <f t="shared" ref="O3:O12" si="4">($L3-3*$N3)</f>
        <v>-0.83979865545080479</v>
      </c>
      <c r="P3">
        <f t="shared" ref="P3:P12" si="5">($L3-1*$N3)</f>
        <v>5.1200671148497321</v>
      </c>
      <c r="Q3">
        <f t="shared" ref="Q3:Q12" si="6">($L3+1*$N3)</f>
        <v>11.079932885150267</v>
      </c>
      <c r="R3">
        <f t="shared" ref="R3:R12" si="7">($L3+3*$N3)</f>
        <v>17.039798655450802</v>
      </c>
    </row>
    <row r="4" spans="1:18" x14ac:dyDescent="0.3">
      <c r="A4">
        <v>2</v>
      </c>
      <c r="B4">
        <f t="shared" ref="B4:B5" si="8">1/3</f>
        <v>0.33333333333333331</v>
      </c>
      <c r="C4">
        <v>0.09</v>
      </c>
      <c r="D4">
        <v>0.06</v>
      </c>
      <c r="J4">
        <v>0.2</v>
      </c>
      <c r="K4">
        <f t="shared" si="1"/>
        <v>0.8</v>
      </c>
      <c r="L4">
        <f t="shared" si="2"/>
        <v>8.1999999999999993</v>
      </c>
      <c r="M4">
        <f t="shared" si="0"/>
        <v>9.9200000000000026E-4</v>
      </c>
      <c r="N4">
        <f t="shared" si="3"/>
        <v>3.1496031496047245</v>
      </c>
      <c r="O4">
        <f t="shared" si="4"/>
        <v>-1.2488094488141748</v>
      </c>
      <c r="P4">
        <f t="shared" si="5"/>
        <v>5.0503968503952752</v>
      </c>
      <c r="Q4">
        <f t="shared" si="6"/>
        <v>11.349603149604723</v>
      </c>
      <c r="R4">
        <f t="shared" si="7"/>
        <v>17.648809448814173</v>
      </c>
    </row>
    <row r="5" spans="1:18" x14ac:dyDescent="0.3">
      <c r="A5">
        <v>3</v>
      </c>
      <c r="B5">
        <f t="shared" si="8"/>
        <v>0.33333333333333331</v>
      </c>
      <c r="C5">
        <v>0.03</v>
      </c>
      <c r="D5">
        <v>0.06</v>
      </c>
      <c r="F5" t="s">
        <v>6</v>
      </c>
      <c r="J5">
        <v>0.3</v>
      </c>
      <c r="K5">
        <f t="shared" si="1"/>
        <v>0.7</v>
      </c>
      <c r="L5">
        <f t="shared" si="2"/>
        <v>8.2999999999999972</v>
      </c>
      <c r="M5">
        <f t="shared" si="0"/>
        <v>1.1119999999999997E-3</v>
      </c>
      <c r="N5">
        <f t="shared" si="3"/>
        <v>3.3346664001066131</v>
      </c>
      <c r="O5">
        <f t="shared" si="4"/>
        <v>-1.7039992003198421</v>
      </c>
      <c r="P5">
        <f t="shared" si="5"/>
        <v>4.9653335998933841</v>
      </c>
      <c r="Q5">
        <f t="shared" si="6"/>
        <v>11.63466640010661</v>
      </c>
      <c r="R5">
        <f t="shared" si="7"/>
        <v>18.303999200319836</v>
      </c>
    </row>
    <row r="6" spans="1:18" x14ac:dyDescent="0.3">
      <c r="B6" t="s">
        <v>7</v>
      </c>
      <c r="C6">
        <f>($B3*C3+$B4*C4+$B5*C5)</f>
        <v>8.9999999999999983E-2</v>
      </c>
      <c r="D6">
        <f>($B3*D3+$B4*D4+$B5*D5)</f>
        <v>7.9999999999999988E-2</v>
      </c>
      <c r="F6">
        <f>G2*C6+G3*D6</f>
        <v>8.3999999999999991E-2</v>
      </c>
      <c r="J6">
        <v>0.4</v>
      </c>
      <c r="K6">
        <f t="shared" si="1"/>
        <v>0.6</v>
      </c>
      <c r="L6">
        <f t="shared" si="2"/>
        <v>8.3999999999999986</v>
      </c>
      <c r="M6">
        <f t="shared" si="0"/>
        <v>1.248E-3</v>
      </c>
      <c r="N6">
        <f t="shared" si="3"/>
        <v>3.5327043465311387</v>
      </c>
      <c r="O6">
        <f t="shared" si="4"/>
        <v>-2.1981130395934176</v>
      </c>
      <c r="P6">
        <f t="shared" si="5"/>
        <v>4.8672956534688598</v>
      </c>
      <c r="Q6">
        <f t="shared" si="6"/>
        <v>11.932704346531137</v>
      </c>
      <c r="R6">
        <f t="shared" si="7"/>
        <v>18.998113039593413</v>
      </c>
    </row>
    <row r="7" spans="1:18" x14ac:dyDescent="0.3">
      <c r="B7" t="s">
        <v>8</v>
      </c>
      <c r="C7">
        <f>_xlfn.COVARIANCE.P(C3:C5,C3:C5)</f>
        <v>2.3999999999999998E-3</v>
      </c>
      <c r="D7">
        <f>_xlfn.COVARIANCE.P(D3:D5,D3:D5)</f>
        <v>7.9999999999999993E-4</v>
      </c>
      <c r="J7">
        <v>0.5</v>
      </c>
      <c r="K7">
        <f t="shared" si="1"/>
        <v>0.5</v>
      </c>
      <c r="L7">
        <f t="shared" si="2"/>
        <v>8.5</v>
      </c>
      <c r="M7">
        <f t="shared" si="0"/>
        <v>1.3999999999999998E-3</v>
      </c>
      <c r="N7">
        <f t="shared" si="3"/>
        <v>3.7416573867739409</v>
      </c>
      <c r="O7">
        <f t="shared" si="4"/>
        <v>-2.7249721603218227</v>
      </c>
      <c r="P7">
        <f t="shared" si="5"/>
        <v>4.7583426132260591</v>
      </c>
      <c r="Q7">
        <f t="shared" si="6"/>
        <v>12.241657386773941</v>
      </c>
      <c r="R7">
        <f t="shared" si="7"/>
        <v>19.724972160321823</v>
      </c>
    </row>
    <row r="8" spans="1:18" x14ac:dyDescent="0.3">
      <c r="B8" t="s">
        <v>15</v>
      </c>
      <c r="C8">
        <f>SQRT(C7)</f>
        <v>4.8989794855663557E-2</v>
      </c>
      <c r="D8">
        <f>SQRT(D7)</f>
        <v>2.8284271247461901E-2</v>
      </c>
      <c r="F8" t="s">
        <v>5</v>
      </c>
      <c r="J8">
        <v>0.6</v>
      </c>
      <c r="K8">
        <f t="shared" si="1"/>
        <v>0.4</v>
      </c>
      <c r="L8">
        <f t="shared" si="2"/>
        <v>8.5999999999999979</v>
      </c>
      <c r="M8">
        <f t="shared" si="0"/>
        <v>1.5679999999999999E-3</v>
      </c>
      <c r="N8">
        <f t="shared" si="3"/>
        <v>3.9597979746446659</v>
      </c>
      <c r="O8">
        <f t="shared" si="4"/>
        <v>-3.2793939239340002</v>
      </c>
      <c r="P8">
        <f t="shared" si="5"/>
        <v>4.6402020253553324</v>
      </c>
      <c r="Q8">
        <f t="shared" si="6"/>
        <v>12.559797974644663</v>
      </c>
      <c r="R8">
        <f t="shared" si="7"/>
        <v>20.479393923933998</v>
      </c>
    </row>
    <row r="9" spans="1:18" x14ac:dyDescent="0.3">
      <c r="F9">
        <f>_xlfn.COVARIANCE.P(C3:C5,C3:C5)</f>
        <v>2.3999999999999998E-3</v>
      </c>
      <c r="G9">
        <f>_xlfn.COVARIANCE.P(C3:C5,D3:D5)</f>
        <v>1.1999999999999999E-3</v>
      </c>
      <c r="J9">
        <v>0.7</v>
      </c>
      <c r="K9">
        <f t="shared" si="1"/>
        <v>0.30000000000000004</v>
      </c>
      <c r="L9">
        <f t="shared" si="2"/>
        <v>8.6999999999999993</v>
      </c>
      <c r="M9">
        <f t="shared" si="0"/>
        <v>1.7519999999999999E-3</v>
      </c>
      <c r="N9">
        <f t="shared" si="3"/>
        <v>4.1856899072912697</v>
      </c>
      <c r="O9">
        <f t="shared" si="4"/>
        <v>-3.8570697218738097</v>
      </c>
      <c r="P9">
        <f t="shared" si="5"/>
        <v>4.5143100927087296</v>
      </c>
      <c r="Q9">
        <f t="shared" si="6"/>
        <v>12.885689907291269</v>
      </c>
      <c r="R9">
        <f t="shared" si="7"/>
        <v>21.257069721873808</v>
      </c>
    </row>
    <row r="10" spans="1:18" x14ac:dyDescent="0.3">
      <c r="F10">
        <f>_xlfn.COVARIANCE.P(D3:D5,C3:C5)</f>
        <v>1.1999999999999999E-3</v>
      </c>
      <c r="G10">
        <f>_xlfn.COVARIANCE.P(D3:D5,D3:D5)</f>
        <v>7.9999999999999993E-4</v>
      </c>
      <c r="J10">
        <v>0.8</v>
      </c>
      <c r="K10">
        <f t="shared" si="1"/>
        <v>0.19999999999999996</v>
      </c>
      <c r="L10">
        <f t="shared" si="2"/>
        <v>8.7999999999999989</v>
      </c>
      <c r="M10">
        <f t="shared" si="0"/>
        <v>1.952E-3</v>
      </c>
      <c r="N10">
        <f t="shared" si="3"/>
        <v>4.4181444068749043</v>
      </c>
      <c r="O10">
        <f t="shared" si="4"/>
        <v>-4.454433220624713</v>
      </c>
      <c r="P10">
        <f t="shared" si="5"/>
        <v>4.3818555931250947</v>
      </c>
      <c r="Q10">
        <f t="shared" si="6"/>
        <v>13.218144406874902</v>
      </c>
      <c r="R10">
        <f t="shared" si="7"/>
        <v>22.054433220624709</v>
      </c>
    </row>
    <row r="11" spans="1:18" x14ac:dyDescent="0.3">
      <c r="J11">
        <v>0.9</v>
      </c>
      <c r="K11">
        <f t="shared" si="1"/>
        <v>9.9999999999999978E-2</v>
      </c>
      <c r="L11">
        <f t="shared" si="2"/>
        <v>8.8999999999999986</v>
      </c>
      <c r="M11">
        <f t="shared" si="0"/>
        <v>2.1680000000000002E-3</v>
      </c>
      <c r="N11">
        <f t="shared" si="3"/>
        <v>4.656178690729126</v>
      </c>
      <c r="O11">
        <f t="shared" si="4"/>
        <v>-5.0685360721873796</v>
      </c>
      <c r="P11">
        <f t="shared" si="5"/>
        <v>4.2438213092708725</v>
      </c>
      <c r="Q11">
        <f t="shared" si="6"/>
        <v>13.556178690729125</v>
      </c>
      <c r="R11">
        <f t="shared" si="7"/>
        <v>22.868536072187375</v>
      </c>
    </row>
    <row r="12" spans="1:18" x14ac:dyDescent="0.3">
      <c r="F12" t="s">
        <v>9</v>
      </c>
      <c r="J12">
        <v>1</v>
      </c>
      <c r="K12">
        <f t="shared" si="1"/>
        <v>0</v>
      </c>
      <c r="L12">
        <f t="shared" si="2"/>
        <v>8.9999999999999982</v>
      </c>
      <c r="M12">
        <f t="shared" si="0"/>
        <v>2.3999999999999998E-3</v>
      </c>
      <c r="N12">
        <f t="shared" si="3"/>
        <v>4.8989794855663558</v>
      </c>
      <c r="O12">
        <f t="shared" si="4"/>
        <v>-5.6969384566990691</v>
      </c>
      <c r="P12">
        <f t="shared" si="5"/>
        <v>4.1010205144336425</v>
      </c>
      <c r="Q12">
        <f t="shared" si="6"/>
        <v>13.898979485566354</v>
      </c>
      <c r="R12">
        <f t="shared" si="7"/>
        <v>23.696938456699066</v>
      </c>
    </row>
    <row r="13" spans="1:18" x14ac:dyDescent="0.3">
      <c r="F13">
        <f>G2*G2*F9+G2*G3*G9+G3*G2*F10+G3*G3*G10</f>
        <v>1.248E-3</v>
      </c>
    </row>
  </sheetData>
  <mergeCells count="3">
    <mergeCell ref="A1:A2"/>
    <mergeCell ref="B1:B2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van der Wijst returns</vt:lpstr>
      <vt:lpstr>my turnabout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Conrad Schiff</dc:creator>
  <cp:lastModifiedBy>Conrad Schiff</cp:lastModifiedBy>
  <dcterms:created xsi:type="dcterms:W3CDTF">2026-07-07T20:40:18Z</dcterms:created>
  <dcterms:modified xsi:type="dcterms:W3CDTF">2026-07-24T12:42:35Z</dcterms:modified>
</cp:coreProperties>
</file>